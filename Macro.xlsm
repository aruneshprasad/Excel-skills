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une\Desktop\Upload_github\Excel\"/>
    </mc:Choice>
  </mc:AlternateContent>
  <bookViews>
    <workbookView xWindow="-15" yWindow="-15" windowWidth="10320" windowHeight="8175" tabRatio="869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4" sheetId="25" r:id="rId6"/>
    <sheet name="105" sheetId="26" r:id="rId7"/>
  </sheets>
  <definedNames>
    <definedName name="Customer_Name">Table!$C$2:$C$7</definedName>
    <definedName name="Date">Table!$B$2:$B$7</definedName>
    <definedName name="Discount">Table!$G$2:$G$7</definedName>
    <definedName name="Fee_per_hour">Table!$E$2:$E$7</definedName>
    <definedName name="Hours_of_Service_Provided">Table!$D$2:$D$7</definedName>
    <definedName name="Invoice_Number">Table!$A$2:$A$7</definedName>
    <definedName name="Total">Table!$F$2:$F$7</definedName>
    <definedName name="Total_Amount_Due">Table!$H$2:$H$7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6" l="1"/>
  <c r="D14" i="26"/>
  <c r="B7" i="26"/>
  <c r="A7" i="26"/>
  <c r="C5" i="26"/>
  <c r="B5" i="26"/>
  <c r="A5" i="26"/>
  <c r="C4" i="26"/>
  <c r="B4" i="26" s="1"/>
  <c r="C2" i="26"/>
  <c r="B2" i="26"/>
  <c r="D15" i="25"/>
  <c r="D14" i="25"/>
  <c r="B7" i="25"/>
  <c r="A7" i="25"/>
  <c r="C5" i="25"/>
  <c r="B5" i="25"/>
  <c r="A5" i="25"/>
  <c r="C4" i="25"/>
  <c r="B4" i="25" s="1"/>
  <c r="C2" i="25"/>
  <c r="B2" i="25"/>
  <c r="A7" i="23"/>
  <c r="F7" i="23"/>
  <c r="C7" i="26" s="1"/>
  <c r="G7" i="23"/>
  <c r="C15" i="26" s="1"/>
  <c r="A6" i="23"/>
  <c r="F6" i="23"/>
  <c r="C7" i="25" s="1"/>
  <c r="A5" i="23"/>
  <c r="F5" i="23"/>
  <c r="G5" i="23" s="1"/>
  <c r="C14" i="26" l="1"/>
  <c r="C16" i="26" s="1"/>
  <c r="H5" i="23"/>
  <c r="H6" i="23"/>
  <c r="H7" i="23"/>
  <c r="C14" i="25"/>
  <c r="G6" i="23"/>
  <c r="C15" i="25" s="1"/>
  <c r="D14" i="24"/>
  <c r="D15" i="24"/>
  <c r="B5" i="24"/>
  <c r="B7" i="24" s="1"/>
  <c r="C5" i="24"/>
  <c r="A5" i="24"/>
  <c r="A7" i="24" s="1"/>
  <c r="C4" i="24"/>
  <c r="B4" i="24" s="1"/>
  <c r="C2" i="24"/>
  <c r="B2" i="24" s="1"/>
  <c r="C16" i="25" l="1"/>
  <c r="A4" i="23"/>
  <c r="F4" i="23"/>
  <c r="G4" i="23" s="1"/>
  <c r="H4" i="23" s="1"/>
  <c r="G3" i="23" l="1"/>
  <c r="F2" i="23"/>
  <c r="F3" i="23"/>
  <c r="C14" i="24" l="1"/>
  <c r="C7" i="24"/>
  <c r="H3" i="23"/>
  <c r="G2" i="23"/>
  <c r="B1" i="1"/>
  <c r="H2" i="23" l="1"/>
  <c r="J2" i="23" s="1"/>
  <c r="C15" i="24"/>
  <c r="C16" i="24" s="1"/>
</calcChain>
</file>

<file path=xl/sharedStrings.xml><?xml version="1.0" encoding="utf-8"?>
<sst xmlns="http://schemas.openxmlformats.org/spreadsheetml/2006/main" count="92" uniqueCount="58">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</sst>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$&quot;* #,##0.00_-;\-&quot;$&quot;* #,##0.00_-;_-&quot;$&quot;* &quot;-&quot;??_-;_-@_-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7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0" fontId="0" fillId="0" borderId="1" xfId="0" applyFont="1" applyBorder="1"/>
    <xf numFmtId="164" fontId="15" fillId="0" borderId="2" xfId="1" applyNumberFormat="1" applyFont="1" applyBorder="1"/>
    <xf numFmtId="164" fontId="15" fillId="0" borderId="11" xfId="1" applyNumberFormat="1" applyFont="1" applyBorder="1"/>
    <xf numFmtId="0" fontId="3" fillId="0" borderId="0" xfId="0" applyFont="1"/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Currency" xfId="1" builtinId="4"/>
    <cellStyle name="MQ Body" xfId="6"/>
    <cellStyle name="MQ Heading 1" xfId="4"/>
    <cellStyle name="Normal" xfId="0" builtinId="0"/>
    <cellStyle name="Normal 2 2" xfId="2"/>
    <cellStyle name="Normal 4" xfId="3"/>
    <cellStyle name="Title 2" xfId="5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xmlns="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9525</xdr:rowOff>
    </xdr:from>
    <xdr:to>
      <xdr:col>8</xdr:col>
      <xdr:colOff>0</xdr:colOff>
      <xdr:row>5</xdr:row>
      <xdr:rowOff>257175</xdr:rowOff>
    </xdr:to>
    <xdr:sp macro="[0]!T" textlink="">
      <xdr:nvSpPr>
        <xdr:cNvPr id="2" name="Rounded Rectangle 1"/>
        <xdr:cNvSpPr/>
      </xdr:nvSpPr>
      <xdr:spPr>
        <a:xfrm>
          <a:off x="5314950" y="1038225"/>
          <a:ext cx="1828800" cy="5143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TRANSFER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</xdr:row>
      <xdr:rowOff>9525</xdr:rowOff>
    </xdr:from>
    <xdr:to>
      <xdr:col>10</xdr:col>
      <xdr:colOff>9525</xdr:colOff>
      <xdr:row>4</xdr:row>
      <xdr:rowOff>0</xdr:rowOff>
    </xdr:to>
    <xdr:sp macro="[0]!Issue_Invoice" textlink="">
      <xdr:nvSpPr>
        <xdr:cNvPr id="2" name="Rounded Rectangle 1"/>
        <xdr:cNvSpPr/>
      </xdr:nvSpPr>
      <xdr:spPr>
        <a:xfrm>
          <a:off x="10991850" y="809625"/>
          <a:ext cx="129540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voice" displayName="Invoice" ref="A1:H7" totalsRowShown="0" headerRowDxfId="17" dataDxfId="16" dataCellStyle="Currency">
  <autoFilter ref="A1:H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Invoice Number" dataDxfId="15" totalsRowDxfId="14"/>
    <tableColumn id="2" name="Date" dataDxfId="13" totalsRowDxfId="12"/>
    <tableColumn id="3" name="Customer Name" dataDxfId="11" totalsRowDxfId="10"/>
    <tableColumn id="4" name="Hours of Service Provided" dataDxfId="9" totalsRowDxfId="8" dataCellStyle="Currency"/>
    <tableColumn id="5" name="Fee per hour" dataDxfId="7" totalsRowDxfId="6" dataCellStyle="Currency"/>
    <tableColumn id="6" name="Total" dataDxfId="5" totalsRowDxfId="4" dataCellStyle="Currency">
      <calculatedColumnFormula>Hours_of_Service_Provided*Fee_per_hour</calculatedColumnFormula>
    </tableColumn>
    <tableColumn id="7" name="Discount" dataDxfId="3" totalsRowDxfId="2" dataCellStyle="Currency">
      <calculatedColumnFormula>IF(Hours_of_Service_Provided&gt;10,Total*0.05,0)</calculatedColumnFormula>
    </tableColumn>
    <tableColumn id="8" name="Total Amount Due" dataDxfId="1" totalsRowDxfId="0" dataCellStyle="Currency">
      <calculatedColumnFormula>Total-Discount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6"/>
  <sheetViews>
    <sheetView tabSelected="1" topLeftCell="A22" zoomScaleNormal="100" workbookViewId="0">
      <selection activeCell="C41" sqref="C41"/>
    </sheetView>
  </sheetViews>
  <sheetFormatPr defaultColWidth="9.85546875" defaultRowHeight="15"/>
  <cols>
    <col min="1" max="1" width="9.85546875" style="36"/>
    <col min="2" max="2" width="12.140625" style="36" customWidth="1"/>
    <col min="3" max="3" width="15.42578125" style="36" bestFit="1" customWidth="1"/>
    <col min="4" max="4" width="23.7109375" style="36" customWidth="1"/>
    <col min="5" max="5" width="12.7109375" style="36" customWidth="1"/>
    <col min="6" max="7" width="9.85546875" style="36"/>
    <col min="8" max="11" width="12.28515625" style="36" customWidth="1"/>
    <col min="12" max="12" width="39.5703125" style="36" customWidth="1"/>
    <col min="13" max="15" width="12.28515625" style="36" customWidth="1"/>
    <col min="16" max="16384" width="9.85546875" style="36"/>
  </cols>
  <sheetData>
    <row r="1" spans="1:15">
      <c r="G1" s="37"/>
    </row>
    <row r="2" spans="1:15" ht="34.5">
      <c r="G2" s="56" t="s">
        <v>13</v>
      </c>
      <c r="H2" s="57"/>
      <c r="I2" s="57"/>
      <c r="J2" s="57"/>
      <c r="K2" s="57"/>
      <c r="L2" s="57"/>
      <c r="M2" s="57"/>
      <c r="N2" s="57"/>
      <c r="O2" s="57"/>
    </row>
    <row r="3" spans="1:15">
      <c r="G3" s="37"/>
    </row>
    <row r="4" spans="1:15" ht="30">
      <c r="G4" s="58" t="s">
        <v>14</v>
      </c>
      <c r="H4" s="59"/>
      <c r="I4" s="59"/>
      <c r="J4" s="59"/>
      <c r="K4" s="59"/>
      <c r="L4" s="59"/>
      <c r="M4" s="59"/>
      <c r="N4" s="59"/>
      <c r="O4" s="59"/>
    </row>
    <row r="5" spans="1:15" ht="15.75" thickBot="1">
      <c r="G5" s="37"/>
    </row>
    <row r="6" spans="1:15" ht="32.25" thickBot="1">
      <c r="G6" s="37"/>
      <c r="H6" s="60" t="s">
        <v>12</v>
      </c>
      <c r="I6" s="61"/>
      <c r="J6" s="61"/>
      <c r="K6" s="61"/>
      <c r="L6" s="61"/>
      <c r="M6" s="61"/>
      <c r="N6" s="62"/>
      <c r="O6" s="38"/>
    </row>
    <row r="7" spans="1:15" s="39" customFormat="1"/>
    <row r="8" spans="1:15" s="39" customFormat="1"/>
    <row r="9" spans="1:15" s="39" customFormat="1"/>
    <row r="10" spans="1:15" ht="18.75" thickBot="1">
      <c r="A10" s="40" t="s">
        <v>15</v>
      </c>
      <c r="B10" s="40"/>
      <c r="C10" s="40"/>
      <c r="D10" s="40"/>
      <c r="E10" s="40"/>
      <c r="F10" s="40"/>
      <c r="G10" s="38"/>
      <c r="H10" s="39"/>
      <c r="I10" s="39"/>
      <c r="J10" s="39"/>
      <c r="K10" s="39"/>
      <c r="L10" s="39"/>
      <c r="M10" s="39"/>
      <c r="N10" s="39"/>
      <c r="O10" s="39"/>
    </row>
    <row r="11" spans="1:15" ht="12.6" customHeight="1" thickTop="1">
      <c r="A11" s="41"/>
      <c r="B11" s="41"/>
      <c r="C11" s="41"/>
      <c r="D11" s="41"/>
      <c r="E11" s="41"/>
      <c r="F11" s="41"/>
      <c r="G11" s="41"/>
      <c r="H11" s="39"/>
      <c r="I11" s="39"/>
      <c r="J11" s="39"/>
      <c r="K11" s="39"/>
      <c r="L11" s="39"/>
      <c r="M11" s="39"/>
      <c r="N11" s="39"/>
      <c r="O11" s="39"/>
    </row>
    <row r="12" spans="1:15" ht="63.6" customHeight="1">
      <c r="A12" s="63" t="s">
        <v>55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</row>
    <row r="13" spans="1:15" s="39" customFormat="1" ht="9" customHeight="1"/>
    <row r="14" spans="1:15" s="39" customFormat="1" ht="5.45" customHeight="1"/>
    <row r="15" spans="1:15" ht="18.75" thickBot="1">
      <c r="A15" s="40" t="s">
        <v>11</v>
      </c>
      <c r="B15" s="40"/>
      <c r="C15" s="40"/>
      <c r="D15" s="40"/>
      <c r="E15" s="40"/>
      <c r="F15" s="40"/>
      <c r="G15" s="38"/>
      <c r="H15" s="42"/>
      <c r="L15" s="43"/>
    </row>
    <row r="16" spans="1:15" ht="10.5" customHeight="1" thickTop="1">
      <c r="A16" s="41"/>
      <c r="B16" s="41"/>
      <c r="C16" s="41"/>
      <c r="D16" s="41"/>
      <c r="E16" s="41"/>
      <c r="F16" s="41"/>
      <c r="G16" s="41"/>
      <c r="H16" s="42"/>
    </row>
    <row r="17" spans="1:2" s="39" customFormat="1">
      <c r="A17" s="39" t="s">
        <v>39</v>
      </c>
    </row>
    <row r="18" spans="1:2" s="39" customFormat="1"/>
    <row r="19" spans="1:2" s="39" customFormat="1">
      <c r="A19" s="39" t="s">
        <v>42</v>
      </c>
    </row>
    <row r="20" spans="1:2" s="39" customFormat="1">
      <c r="A20" s="36" t="s">
        <v>41</v>
      </c>
    </row>
    <row r="21" spans="1:2" s="39" customFormat="1">
      <c r="A21" s="39" t="s">
        <v>40</v>
      </c>
    </row>
    <row r="22" spans="1:2" s="39" customFormat="1"/>
    <row r="23" spans="1:2" s="39" customFormat="1"/>
    <row r="24" spans="1:2" s="39" customFormat="1">
      <c r="A24" s="39" t="s">
        <v>43</v>
      </c>
    </row>
    <row r="25" spans="1:2" s="39" customFormat="1"/>
    <row r="26" spans="1:2">
      <c r="A26" s="36">
        <v>1</v>
      </c>
      <c r="B26" s="44" t="s">
        <v>57</v>
      </c>
    </row>
    <row r="27" spans="1:2">
      <c r="A27" s="36">
        <v>2</v>
      </c>
      <c r="B27" s="44" t="s">
        <v>45</v>
      </c>
    </row>
    <row r="28" spans="1:2">
      <c r="A28" s="36">
        <v>3</v>
      </c>
      <c r="B28" s="44" t="s">
        <v>56</v>
      </c>
    </row>
    <row r="29" spans="1:2">
      <c r="A29" s="36">
        <v>4</v>
      </c>
      <c r="B29" s="44" t="s">
        <v>48</v>
      </c>
    </row>
    <row r="30" spans="1:2">
      <c r="A30" s="36">
        <v>5</v>
      </c>
      <c r="B30" s="44" t="s">
        <v>54</v>
      </c>
    </row>
    <row r="31" spans="1:2">
      <c r="A31" s="36">
        <v>6</v>
      </c>
      <c r="B31" s="44" t="s">
        <v>46</v>
      </c>
    </row>
    <row r="32" spans="1:2">
      <c r="A32" s="36">
        <v>7</v>
      </c>
      <c r="B32" s="44" t="s">
        <v>47</v>
      </c>
    </row>
    <row r="33" spans="1:5">
      <c r="A33" s="36">
        <v>8</v>
      </c>
      <c r="B33" s="44" t="s">
        <v>53</v>
      </c>
    </row>
    <row r="34" spans="1:5">
      <c r="A34" s="36">
        <v>9</v>
      </c>
      <c r="B34" s="44" t="s">
        <v>49</v>
      </c>
    </row>
    <row r="35" spans="1:5">
      <c r="A35" s="36">
        <v>10</v>
      </c>
      <c r="B35" s="44" t="s">
        <v>50</v>
      </c>
    </row>
    <row r="36" spans="1:5">
      <c r="A36" s="45"/>
    </row>
    <row r="37" spans="1:5">
      <c r="A37" s="45"/>
      <c r="B37" s="46" t="s">
        <v>16</v>
      </c>
      <c r="C37" s="46" t="s">
        <v>17</v>
      </c>
      <c r="D37" s="46" t="s">
        <v>28</v>
      </c>
      <c r="E37" s="46" t="s">
        <v>29</v>
      </c>
    </row>
    <row r="38" spans="1:5">
      <c r="A38" s="45"/>
      <c r="B38" s="47">
        <v>42592</v>
      </c>
      <c r="C38" s="52" t="s">
        <v>34</v>
      </c>
      <c r="D38" s="48">
        <v>30</v>
      </c>
      <c r="E38" s="49">
        <v>55</v>
      </c>
    </row>
    <row r="39" spans="1:5">
      <c r="A39" s="45"/>
      <c r="B39" s="47">
        <v>42603</v>
      </c>
      <c r="C39" s="52" t="s">
        <v>35</v>
      </c>
      <c r="D39" s="48">
        <v>60</v>
      </c>
      <c r="E39" s="49">
        <v>52</v>
      </c>
    </row>
    <row r="40" spans="1:5">
      <c r="A40" s="45"/>
      <c r="B40" s="47">
        <v>42611</v>
      </c>
      <c r="C40" s="52" t="s">
        <v>36</v>
      </c>
      <c r="D40" s="48">
        <v>20</v>
      </c>
      <c r="E40" s="49">
        <v>54</v>
      </c>
    </row>
    <row r="41" spans="1:5">
      <c r="B41" s="50">
        <v>42614</v>
      </c>
      <c r="C41" s="52" t="s">
        <v>37</v>
      </c>
      <c r="D41" s="48">
        <v>9</v>
      </c>
      <c r="E41" s="49">
        <v>51</v>
      </c>
    </row>
    <row r="42" spans="1:5" s="39" customFormat="1"/>
    <row r="43" spans="1:5" s="39" customFormat="1">
      <c r="A43" s="39">
        <v>11</v>
      </c>
      <c r="B43" s="44" t="s">
        <v>51</v>
      </c>
    </row>
    <row r="44" spans="1:5" s="39" customFormat="1">
      <c r="A44" s="39">
        <v>12</v>
      </c>
      <c r="B44" s="44" t="s">
        <v>52</v>
      </c>
    </row>
    <row r="45" spans="1:5" s="39" customFormat="1"/>
    <row r="46" spans="1:5" s="39" customFormat="1">
      <c r="A46" s="39" t="s">
        <v>10</v>
      </c>
    </row>
    <row r="47" spans="1:5" s="39" customFormat="1"/>
    <row r="50" spans="1:1">
      <c r="A50" s="51"/>
    </row>
    <row r="51" spans="1:1">
      <c r="A51" s="45"/>
    </row>
    <row r="52" spans="1:1">
      <c r="A52" s="45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5"/>
  <sheetViews>
    <sheetView zoomScaleNormal="100" workbookViewId="0">
      <selection activeCell="C9" sqref="C9"/>
    </sheetView>
  </sheetViews>
  <sheetFormatPr defaultRowHeight="15"/>
  <cols>
    <col min="2" max="2" width="34.5703125" bestFit="1" customWidth="1"/>
    <col min="3" max="3" width="17.7109375" customWidth="1"/>
  </cols>
  <sheetData>
    <row r="2" spans="2:3" ht="36">
      <c r="B2" s="64" t="s">
        <v>38</v>
      </c>
      <c r="C2" s="64"/>
    </row>
    <row r="5" spans="2:3" ht="21">
      <c r="B5" s="13" t="s">
        <v>16</v>
      </c>
      <c r="C5" s="14"/>
    </row>
    <row r="6" spans="2:3" ht="21">
      <c r="B6" s="15"/>
      <c r="C6" s="15"/>
    </row>
    <row r="7" spans="2:3" ht="21">
      <c r="B7" s="13" t="s">
        <v>17</v>
      </c>
      <c r="C7" s="16"/>
    </row>
    <row r="8" spans="2:3" ht="21">
      <c r="B8" s="13" t="s">
        <v>28</v>
      </c>
      <c r="C8" s="17"/>
    </row>
    <row r="9" spans="2:3" ht="21">
      <c r="B9" s="13" t="s">
        <v>29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E16" sqref="E16"/>
    </sheetView>
  </sheetViews>
  <sheetFormatPr defaultRowHeight="15"/>
  <cols>
    <col min="1" max="1" width="18.7109375" customWidth="1"/>
    <col min="2" max="2" width="14.7109375" bestFit="1" customWidth="1"/>
    <col min="3" max="3" width="23.140625" customWidth="1"/>
    <col min="4" max="4" width="25.85546875" customWidth="1"/>
    <col min="5" max="5" width="19" customWidth="1"/>
    <col min="6" max="6" width="14.5703125" bestFit="1" customWidth="1"/>
    <col min="7" max="7" width="13.85546875" customWidth="1"/>
    <col min="8" max="8" width="25.7109375" customWidth="1"/>
    <col min="10" max="10" width="19.42578125" bestFit="1" customWidth="1"/>
  </cols>
  <sheetData>
    <row r="1" spans="1:10" ht="21">
      <c r="A1" s="20" t="s">
        <v>30</v>
      </c>
      <c r="B1" s="21" t="s">
        <v>16</v>
      </c>
      <c r="C1" s="21" t="s">
        <v>17</v>
      </c>
      <c r="D1" s="22" t="s">
        <v>28</v>
      </c>
      <c r="E1" s="21" t="s">
        <v>29</v>
      </c>
      <c r="F1" s="23" t="s">
        <v>21</v>
      </c>
      <c r="G1" s="23" t="s">
        <v>31</v>
      </c>
      <c r="H1" s="24" t="s">
        <v>32</v>
      </c>
      <c r="I1" s="25"/>
      <c r="J1" s="26" t="s">
        <v>33</v>
      </c>
    </row>
    <row r="2" spans="1:10" ht="23.25">
      <c r="A2" s="27">
        <v>100</v>
      </c>
      <c r="B2" s="28">
        <v>42583</v>
      </c>
      <c r="C2" s="29" t="s">
        <v>22</v>
      </c>
      <c r="D2" s="29">
        <v>20</v>
      </c>
      <c r="E2" s="30">
        <v>50</v>
      </c>
      <c r="F2" s="30">
        <f t="shared" ref="F2:F7" si="0">Hours_of_Service_Provided*Fee_per_hour</f>
        <v>1000</v>
      </c>
      <c r="G2" s="30">
        <f t="shared" ref="G2:G7" si="1">IF(Hours_of_Service_Provided&gt;10,Total*0.05,0)</f>
        <v>50</v>
      </c>
      <c r="H2" s="31">
        <f t="shared" ref="H2:H7" si="2">Total-Discount</f>
        <v>950</v>
      </c>
      <c r="I2" s="32"/>
      <c r="J2" s="35">
        <f>SUM(Total_Amount_Due)</f>
        <v>7374.5</v>
      </c>
    </row>
    <row r="3" spans="1:10" ht="18.75">
      <c r="A3" s="27">
        <v>101</v>
      </c>
      <c r="B3" s="28">
        <v>42584</v>
      </c>
      <c r="C3" s="29" t="s">
        <v>35</v>
      </c>
      <c r="D3" s="29">
        <v>8</v>
      </c>
      <c r="E3" s="30">
        <v>51</v>
      </c>
      <c r="F3" s="30">
        <f t="shared" si="0"/>
        <v>408</v>
      </c>
      <c r="G3" s="30">
        <f t="shared" si="1"/>
        <v>0</v>
      </c>
      <c r="H3" s="31">
        <f t="shared" si="2"/>
        <v>408</v>
      </c>
    </row>
    <row r="4" spans="1:10" ht="21">
      <c r="A4" s="27">
        <f>A3+1</f>
        <v>102</v>
      </c>
      <c r="B4" s="14">
        <v>42592</v>
      </c>
      <c r="C4" s="16" t="s">
        <v>34</v>
      </c>
      <c r="D4" s="17">
        <v>30</v>
      </c>
      <c r="E4" s="30">
        <v>55</v>
      </c>
      <c r="F4" s="53">
        <f t="shared" si="0"/>
        <v>1650</v>
      </c>
      <c r="G4" s="53">
        <f t="shared" si="1"/>
        <v>82.5</v>
      </c>
      <c r="H4" s="54">
        <f t="shared" si="2"/>
        <v>1567.5</v>
      </c>
    </row>
    <row r="5" spans="1:10" ht="21">
      <c r="A5" s="27">
        <f>A4+1</f>
        <v>103</v>
      </c>
      <c r="B5" s="14">
        <v>42603</v>
      </c>
      <c r="C5" s="16" t="s">
        <v>35</v>
      </c>
      <c r="D5" s="17">
        <v>60</v>
      </c>
      <c r="E5" s="30">
        <v>52</v>
      </c>
      <c r="F5" s="53">
        <f t="shared" si="0"/>
        <v>3120</v>
      </c>
      <c r="G5" s="53">
        <f t="shared" si="1"/>
        <v>156</v>
      </c>
      <c r="H5" s="54">
        <f t="shared" si="2"/>
        <v>2964</v>
      </c>
    </row>
    <row r="6" spans="1:10" ht="21">
      <c r="A6" s="27">
        <f>A5+1</f>
        <v>104</v>
      </c>
      <c r="B6" s="14">
        <v>42611</v>
      </c>
      <c r="C6" s="16" t="s">
        <v>36</v>
      </c>
      <c r="D6" s="17">
        <v>20</v>
      </c>
      <c r="E6" s="30">
        <v>54</v>
      </c>
      <c r="F6" s="53">
        <f t="shared" si="0"/>
        <v>1080</v>
      </c>
      <c r="G6" s="53">
        <f t="shared" si="1"/>
        <v>54</v>
      </c>
      <c r="H6" s="54">
        <f t="shared" si="2"/>
        <v>1026</v>
      </c>
    </row>
    <row r="7" spans="1:10" ht="21">
      <c r="A7" s="27">
        <f>A6+1</f>
        <v>105</v>
      </c>
      <c r="B7" s="14">
        <v>42614</v>
      </c>
      <c r="C7" s="16" t="s">
        <v>37</v>
      </c>
      <c r="D7" s="17">
        <v>9</v>
      </c>
      <c r="E7" s="30">
        <v>51</v>
      </c>
      <c r="F7" s="53">
        <f t="shared" si="0"/>
        <v>459</v>
      </c>
      <c r="G7" s="53">
        <f t="shared" si="1"/>
        <v>0</v>
      </c>
      <c r="H7" s="54">
        <f t="shared" si="2"/>
        <v>459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workbookViewId="0">
      <selection activeCell="B3" sqref="B3"/>
    </sheetView>
  </sheetViews>
  <sheetFormatPr defaultRowHeight="15"/>
  <cols>
    <col min="1" max="3" width="18.85546875" customWidth="1"/>
  </cols>
  <sheetData>
    <row r="1" spans="1:4" ht="18.75">
      <c r="A1" s="8" t="s">
        <v>18</v>
      </c>
    </row>
    <row r="2" spans="1:4">
      <c r="A2" s="7" t="s">
        <v>27</v>
      </c>
      <c r="B2" t="str">
        <f>VLOOKUP($B$3,Invoice[],$C$2,0)</f>
        <v>Sami Pty Ltd</v>
      </c>
      <c r="C2" s="55">
        <f>MATCH(Invoice[[#Headers],[Customer Name]],Invoice[#Headers],0)</f>
        <v>3</v>
      </c>
    </row>
    <row r="3" spans="1:4">
      <c r="A3" s="7" t="s">
        <v>23</v>
      </c>
      <c r="B3">
        <v>100</v>
      </c>
      <c r="C3" s="55"/>
    </row>
    <row r="4" spans="1:4">
      <c r="A4" s="7" t="s">
        <v>24</v>
      </c>
      <c r="B4" s="33">
        <f>VLOOKUP($B$3,Invoice[],$C$4,0)</f>
        <v>42583</v>
      </c>
      <c r="C4" s="55">
        <f>MATCH(Invoice[[#Headers],[Date]],Invoice[#Headers],0)</f>
        <v>2</v>
      </c>
    </row>
    <row r="5" spans="1:4">
      <c r="A5" s="55">
        <f>MATCH(Invoice[[#Headers],[Hours of Service Provided]],Invoice[#Headers],0)</f>
        <v>4</v>
      </c>
      <c r="B5" s="55">
        <f>MATCH(Invoice[[#Headers],[Fee per hour]],Invoice[#Headers],0)</f>
        <v>5</v>
      </c>
      <c r="C5" s="55">
        <f>MATCH(Invoice[[#Headers],[Total]],Invoice[#Headers],0)</f>
        <v>6</v>
      </c>
    </row>
    <row r="6" spans="1:4" ht="15.75">
      <c r="A6" s="12" t="s">
        <v>19</v>
      </c>
      <c r="B6" s="12" t="s">
        <v>20</v>
      </c>
      <c r="C6" s="12" t="s">
        <v>21</v>
      </c>
    </row>
    <row r="7" spans="1:4">
      <c r="A7" s="9">
        <f>VLOOKUP($B$3,Invoice[],A$5,0)</f>
        <v>20</v>
      </c>
      <c r="B7" s="34">
        <f>VLOOKUP($B$3,Invoice[],B$5,0)</f>
        <v>50</v>
      </c>
      <c r="C7" s="34">
        <f>VLOOKUP($B$3,Invoice[],C$5,0)</f>
        <v>1000</v>
      </c>
    </row>
    <row r="8" spans="1:4">
      <c r="A8" s="9"/>
      <c r="B8" s="9"/>
      <c r="C8" s="9"/>
    </row>
    <row r="9" spans="1:4">
      <c r="A9" s="9"/>
      <c r="B9" s="9"/>
      <c r="C9" s="9"/>
    </row>
    <row r="10" spans="1:4">
      <c r="A10" s="9"/>
      <c r="B10" s="9"/>
      <c r="C10" s="9"/>
    </row>
    <row r="11" spans="1:4">
      <c r="A11" s="9"/>
      <c r="B11" s="9"/>
      <c r="C11" s="9"/>
    </row>
    <row r="12" spans="1:4">
      <c r="A12" s="9"/>
      <c r="B12" s="9"/>
      <c r="C12" s="9"/>
    </row>
    <row r="13" spans="1:4">
      <c r="A13" s="10"/>
      <c r="B13" s="10"/>
      <c r="C13" s="10"/>
    </row>
    <row r="14" spans="1:4">
      <c r="A14" s="65" t="s">
        <v>25</v>
      </c>
      <c r="B14" s="65"/>
      <c r="C14" s="34">
        <f>VLOOKUP($B$3,Invoice[],$D14,0)</f>
        <v>1000</v>
      </c>
      <c r="D14" s="55">
        <f>MATCH(Invoice[[#Headers],[Total]],Invoice[#Headers],0)</f>
        <v>6</v>
      </c>
    </row>
    <row r="15" spans="1:4">
      <c r="A15" s="66" t="s">
        <v>44</v>
      </c>
      <c r="B15" s="66"/>
      <c r="C15" s="34">
        <f>VLOOKUP($B$3,Invoice[],$D15,0)</f>
        <v>50</v>
      </c>
      <c r="D15" s="55">
        <f>MATCH(Invoice[[#Headers],[Discount]],Invoice[#Headers],0)</f>
        <v>7</v>
      </c>
    </row>
    <row r="16" spans="1:4">
      <c r="A16" s="65" t="s">
        <v>26</v>
      </c>
      <c r="B16" s="65"/>
      <c r="C16" s="11">
        <f>C14-C15</f>
        <v>950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6"/>
  <sheetViews>
    <sheetView workbookViewId="0">
      <selection activeCell="B3" sqref="B3"/>
    </sheetView>
  </sheetViews>
  <sheetFormatPr defaultRowHeight="15"/>
  <cols>
    <col min="1" max="3" width="18.85546875" customWidth="1"/>
  </cols>
  <sheetData>
    <row r="1" spans="1:4" ht="18.75">
      <c r="A1" s="8" t="s">
        <v>18</v>
      </c>
    </row>
    <row r="2" spans="1:4">
      <c r="A2" s="7" t="s">
        <v>27</v>
      </c>
      <c r="B2" t="str">
        <f>VLOOKUP($B$3,Invoice[],$C$2,0)</f>
        <v>Siroos Pty Ltd</v>
      </c>
      <c r="C2" s="55">
        <f>MATCH(Invoice[[#Headers],[Customer Name]],Invoice[#Headers],0)</f>
        <v>3</v>
      </c>
    </row>
    <row r="3" spans="1:4">
      <c r="A3" s="7" t="s">
        <v>23</v>
      </c>
      <c r="B3">
        <v>104</v>
      </c>
      <c r="C3" s="55"/>
    </row>
    <row r="4" spans="1:4">
      <c r="A4" s="7" t="s">
        <v>24</v>
      </c>
      <c r="B4" s="33">
        <f>VLOOKUP($B$3,Invoice[],$C$4,0)</f>
        <v>42611</v>
      </c>
      <c r="C4" s="55">
        <f>MATCH(Invoice[[#Headers],[Date]],Invoice[#Headers],0)</f>
        <v>2</v>
      </c>
    </row>
    <row r="5" spans="1:4">
      <c r="A5" s="55">
        <f>MATCH(Invoice[[#Headers],[Hours of Service Provided]],Invoice[#Headers],0)</f>
        <v>4</v>
      </c>
      <c r="B5" s="55">
        <f>MATCH(Invoice[[#Headers],[Fee per hour]],Invoice[#Headers],0)</f>
        <v>5</v>
      </c>
      <c r="C5" s="55">
        <f>MATCH(Invoice[[#Headers],[Total]],Invoice[#Headers],0)</f>
        <v>6</v>
      </c>
    </row>
    <row r="6" spans="1:4" ht="15.75">
      <c r="A6" s="12" t="s">
        <v>19</v>
      </c>
      <c r="B6" s="12" t="s">
        <v>20</v>
      </c>
      <c r="C6" s="12" t="s">
        <v>21</v>
      </c>
    </row>
    <row r="7" spans="1:4">
      <c r="A7" s="9">
        <f>VLOOKUP($B$3,Invoice[],A$5,0)</f>
        <v>20</v>
      </c>
      <c r="B7" s="34">
        <f>VLOOKUP($B$3,Invoice[],B$5,0)</f>
        <v>54</v>
      </c>
      <c r="C7" s="34">
        <f>VLOOKUP($B$3,Invoice[],C$5,0)</f>
        <v>1080</v>
      </c>
    </row>
    <row r="8" spans="1:4">
      <c r="A8" s="9"/>
      <c r="B8" s="9"/>
      <c r="C8" s="9"/>
    </row>
    <row r="9" spans="1:4">
      <c r="A9" s="9"/>
      <c r="B9" s="9"/>
      <c r="C9" s="9"/>
    </row>
    <row r="10" spans="1:4">
      <c r="A10" s="9"/>
      <c r="B10" s="9"/>
      <c r="C10" s="9"/>
    </row>
    <row r="11" spans="1:4">
      <c r="A11" s="9"/>
      <c r="B11" s="9"/>
      <c r="C11" s="9"/>
    </row>
    <row r="12" spans="1:4">
      <c r="A12" s="9"/>
      <c r="B12" s="9"/>
      <c r="C12" s="9"/>
    </row>
    <row r="13" spans="1:4">
      <c r="A13" s="10"/>
      <c r="B13" s="10"/>
      <c r="C13" s="10"/>
    </row>
    <row r="14" spans="1:4">
      <c r="A14" s="65" t="s">
        <v>25</v>
      </c>
      <c r="B14" s="65"/>
      <c r="C14" s="34">
        <f>VLOOKUP($B$3,Invoice[],$D14,0)</f>
        <v>1080</v>
      </c>
      <c r="D14" s="55">
        <f>MATCH(Invoice[[#Headers],[Total]],Invoice[#Headers],0)</f>
        <v>6</v>
      </c>
    </row>
    <row r="15" spans="1:4">
      <c r="A15" s="66" t="s">
        <v>44</v>
      </c>
      <c r="B15" s="66"/>
      <c r="C15" s="34">
        <f>VLOOKUP($B$3,Invoice[],$D15,0)</f>
        <v>54</v>
      </c>
      <c r="D15" s="55">
        <f>MATCH(Invoice[[#Headers],[Discount]],Invoice[#Headers],0)</f>
        <v>7</v>
      </c>
    </row>
    <row r="16" spans="1:4">
      <c r="A16" s="65" t="s">
        <v>26</v>
      </c>
      <c r="B16" s="65"/>
      <c r="C16" s="11">
        <f>C14-C15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6"/>
  <sheetViews>
    <sheetView workbookViewId="0">
      <selection activeCell="B3" sqref="B3"/>
    </sheetView>
  </sheetViews>
  <sheetFormatPr defaultRowHeight="15"/>
  <cols>
    <col min="1" max="3" width="18.85546875" customWidth="1"/>
  </cols>
  <sheetData>
    <row r="1" spans="1:4" ht="18.75">
      <c r="A1" s="8" t="s">
        <v>18</v>
      </c>
    </row>
    <row r="2" spans="1:4">
      <c r="A2" s="7" t="s">
        <v>27</v>
      </c>
      <c r="B2" t="str">
        <f>VLOOKUP($B$3,Invoice[],$C$2,0)</f>
        <v>Behrooz Pty Ltd</v>
      </c>
      <c r="C2" s="55">
        <f>MATCH(Invoice[[#Headers],[Customer Name]],Invoice[#Headers],0)</f>
        <v>3</v>
      </c>
    </row>
    <row r="3" spans="1:4">
      <c r="A3" s="7" t="s">
        <v>23</v>
      </c>
      <c r="B3">
        <v>105</v>
      </c>
      <c r="C3" s="55"/>
    </row>
    <row r="4" spans="1:4">
      <c r="A4" s="7" t="s">
        <v>24</v>
      </c>
      <c r="B4" s="33">
        <f>VLOOKUP($B$3,Invoice[],$C$4,0)</f>
        <v>42614</v>
      </c>
      <c r="C4" s="55">
        <f>MATCH(Invoice[[#Headers],[Date]],Invoice[#Headers],0)</f>
        <v>2</v>
      </c>
    </row>
    <row r="5" spans="1:4">
      <c r="A5" s="55">
        <f>MATCH(Invoice[[#Headers],[Hours of Service Provided]],Invoice[#Headers],0)</f>
        <v>4</v>
      </c>
      <c r="B5" s="55">
        <f>MATCH(Invoice[[#Headers],[Fee per hour]],Invoice[#Headers],0)</f>
        <v>5</v>
      </c>
      <c r="C5" s="55">
        <f>MATCH(Invoice[[#Headers],[Total]],Invoice[#Headers],0)</f>
        <v>6</v>
      </c>
    </row>
    <row r="6" spans="1:4" ht="15.75">
      <c r="A6" s="12" t="s">
        <v>19</v>
      </c>
      <c r="B6" s="12" t="s">
        <v>20</v>
      </c>
      <c r="C6" s="12" t="s">
        <v>21</v>
      </c>
    </row>
    <row r="7" spans="1:4">
      <c r="A7" s="9">
        <f>VLOOKUP($B$3,Invoice[],A$5,0)</f>
        <v>9</v>
      </c>
      <c r="B7" s="34">
        <f>VLOOKUP($B$3,Invoice[],B$5,0)</f>
        <v>51</v>
      </c>
      <c r="C7" s="34">
        <f>VLOOKUP($B$3,Invoice[],C$5,0)</f>
        <v>459</v>
      </c>
    </row>
    <row r="8" spans="1:4">
      <c r="A8" s="9"/>
      <c r="B8" s="9"/>
      <c r="C8" s="9"/>
    </row>
    <row r="9" spans="1:4">
      <c r="A9" s="9"/>
      <c r="B9" s="9"/>
      <c r="C9" s="9"/>
    </row>
    <row r="10" spans="1:4">
      <c r="A10" s="9"/>
      <c r="B10" s="9"/>
      <c r="C10" s="9"/>
    </row>
    <row r="11" spans="1:4">
      <c r="A11" s="9"/>
      <c r="B11" s="9"/>
      <c r="C11" s="9"/>
    </row>
    <row r="12" spans="1:4">
      <c r="A12" s="9"/>
      <c r="B12" s="9"/>
      <c r="C12" s="9"/>
    </row>
    <row r="13" spans="1:4">
      <c r="A13" s="10"/>
      <c r="B13" s="10"/>
      <c r="C13" s="10"/>
    </row>
    <row r="14" spans="1:4">
      <c r="A14" s="65" t="s">
        <v>25</v>
      </c>
      <c r="B14" s="65"/>
      <c r="C14" s="34">
        <f>VLOOKUP($B$3,Invoice[],$D14,0)</f>
        <v>459</v>
      </c>
      <c r="D14" s="55">
        <f>MATCH(Invoice[[#Headers],[Total]],Invoice[#Headers],0)</f>
        <v>6</v>
      </c>
    </row>
    <row r="15" spans="1:4">
      <c r="A15" s="66" t="s">
        <v>44</v>
      </c>
      <c r="B15" s="66"/>
      <c r="C15" s="34">
        <f>VLOOKUP($B$3,Invoice[],$D15,0)</f>
        <v>0</v>
      </c>
      <c r="D15" s="55">
        <f>MATCH(Invoice[[#Headers],[Discount]],Invoice[#Headers],0)</f>
        <v>7</v>
      </c>
    </row>
    <row r="16" spans="1:4">
      <c r="A16" s="65" t="s">
        <v>26</v>
      </c>
      <c r="B16" s="65"/>
      <c r="C16" s="11">
        <f>C14-C15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 </vt:lpstr>
      <vt:lpstr>Instruction</vt:lpstr>
      <vt:lpstr>Data Entry</vt:lpstr>
      <vt:lpstr>Table</vt:lpstr>
      <vt:lpstr>Invoice Template</vt:lpstr>
      <vt:lpstr>104</vt:lpstr>
      <vt:lpstr>105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Arunesh Prasad</cp:lastModifiedBy>
  <dcterms:created xsi:type="dcterms:W3CDTF">2016-08-30T01:18:10Z</dcterms:created>
  <dcterms:modified xsi:type="dcterms:W3CDTF">2017-12-13T20:06:53Z</dcterms:modified>
</cp:coreProperties>
</file>